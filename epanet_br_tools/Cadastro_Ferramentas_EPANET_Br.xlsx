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dastro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295C"/>
      <sz val="14"/>
    </font>
    <font>
      <name val="Arial"/>
      <charset val="1"/>
      <family val="0"/>
      <i val="1"/>
      <color rgb="FF5B6B80"/>
      <sz val="9"/>
    </font>
    <font>
      <name val="Arial"/>
      <charset val="1"/>
      <family val="0"/>
      <b val="1"/>
      <color rgb="FF00295C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color rgb="FF5B6B8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1"/>
    </font>
    <font>
      <name val="Arial"/>
      <charset val="1"/>
      <family val="0"/>
      <color rgb="FF1A2740"/>
      <sz val="10"/>
    </font>
    <font>
      <name val="Arial"/>
      <family val="2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FDE9C4"/>
      </patternFill>
    </fill>
    <fill>
      <patternFill patternType="solid">
        <fgColor rgb="FF034EA2"/>
        <bgColor rgb="FF333399"/>
      </patternFill>
    </fill>
    <fill>
      <patternFill patternType="solid">
        <fgColor rgb="FFFDE9C4"/>
        <bgColor rgb="FFFFF2CC"/>
      </patternFill>
    </fill>
  </fills>
  <borders count="2">
    <border>
      <left/>
      <right/>
      <top/>
      <bottom/>
      <diagonal/>
    </border>
    <border>
      <left style="thin">
        <color rgb="FFC9D3DF"/>
      </left>
      <right style="thin">
        <color rgb="FFC9D3DF"/>
      </right>
      <top style="thin">
        <color rgb="FFC9D3DF"/>
      </top>
      <bottom style="thin">
        <color rgb="FFC9D3D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11" fillId="4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11" fillId="4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34EA2"/>
      <rgbColor rgb="FFC9D3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C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80"/>
      <rgbColor rgb="FF969696"/>
      <rgbColor rgb="FF00295C"/>
      <rgbColor rgb="FF339966"/>
      <rgbColor rgb="FF003300"/>
      <rgbColor rgb="FF333300"/>
      <rgbColor rgb="FF993300"/>
      <rgbColor rgb="FF993366"/>
      <rgbColor rgb="FF333399"/>
      <rgbColor rgb="FF1A27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Unknown Author</author>
  </authors>
  <commentList>
    <comment ref="B5" authorId="0" shapeId="0">
      <text>
        <t>Resultado de 'where.exe pythonw' no PowerShell (informado pelo usuário). Não use o caminho em WindowsApps.</t>
      </text>
    </comment>
    <comment ref="B6" authorId="0" shapeId="0">
      <text>
        <t>Pasta onde foi descompactado o conteúdo de epanet_br_tools.</t>
      </text>
    </comment>
    <comment ref="B7" authorId="0" shapeId="0">
      <text>
        <t>Limite NBR 12218 usado nas ferramentas 4 e 5.</t>
      </text>
    </comment>
    <comment ref="B8" authorId="0" shapeId="0">
      <text>
        <t>Limite NBR 12218 usado nas ferramentas 4 e 5.</t>
      </text>
    </comment>
    <comment ref="B9" authorId="0" shapeId="0">
      <text>
        <t>Velocidade mínima usada nas ferramentas 4 e 5.</t>
      </text>
    </comment>
    <comment ref="B10" authorId="0" shapeId="0">
      <text>
        <t>Velocidade máxima usada nas ferramentas 4 e 5.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13" min="1" max="1"/>
    <col width="30" customWidth="1" style="13" min="2" max="2"/>
    <col width="46" customWidth="1" style="13" min="3" max="3"/>
    <col width="26" customWidth="1" style="13" min="4" max="4"/>
    <col width="62" customWidth="1" style="13" min="5" max="5"/>
    <col width="12" customWidth="1" style="13" min="6" max="6"/>
    <col width="16" customWidth="1" style="13" min="7" max="7"/>
    <col width="50" customWidth="1" style="13" min="8" max="8"/>
  </cols>
  <sheetData>
    <row r="1" ht="17.25" customHeight="1" s="14">
      <c r="A1" s="15" t="inlineStr">
        <is>
          <t>Cadastro das ferramentas IARHA no EPANET 2.2 Brasil</t>
        </is>
      </c>
    </row>
    <row r="2" ht="15" customHeight="1" s="14">
      <c r="A2" s="16" t="inlineStr">
        <is>
          <t>Ferramentas &gt; Configurar &gt; Adicionar. Edite só as células amarelas; a tabela abaixo se atualiza sozinha.</t>
        </is>
      </c>
    </row>
    <row r="4" ht="15" customHeight="1" s="14">
      <c r="A4" s="17" t="inlineStr">
        <is>
          <t>Entradas</t>
        </is>
      </c>
    </row>
    <row r="5" ht="15" customHeight="1" s="14">
      <c r="A5" s="18" t="inlineStr">
        <is>
          <t>Programa (pythonw.exe)</t>
        </is>
      </c>
      <c r="B5" s="19" t="inlineStr">
        <is>
          <t>C:\Users\SEU_USUARIO\AppData\Local\Programs\Python\Python312\pythonw.exe</t>
        </is>
      </c>
      <c r="C5" s="20" t="inlineStr">
        <is>
          <t>Troque SEU_USUARIO pelo seu caminho: cole o resultado de 'where.exe pythonw' no PowerShell. Não use o caminho em WindowsApps.</t>
        </is>
      </c>
    </row>
    <row r="6" ht="15" customHeight="1" s="14">
      <c r="A6" s="18" t="inlineStr">
        <is>
          <t>Pasta das ferramentas</t>
        </is>
      </c>
      <c r="B6" s="19" t="inlineStr">
        <is>
          <t>C:\EPANET_Ferramentas</t>
        </is>
      </c>
      <c r="C6" s="20" t="inlineStr">
        <is>
          <t>Pasta onde foi descompactado o conteúdo de epanet_br_tools.</t>
        </is>
      </c>
    </row>
    <row r="7" ht="15" customHeight="1" s="14">
      <c r="A7" s="18" t="inlineStr">
        <is>
          <t>P mín (mca)</t>
        </is>
      </c>
      <c r="B7" s="19" t="n">
        <v>10</v>
      </c>
      <c r="C7" s="20" t="inlineStr">
        <is>
          <t>Limite NBR 12218 usado nas ferramentas 4 e 5.</t>
        </is>
      </c>
    </row>
    <row r="8" ht="15" customHeight="1" s="14">
      <c r="A8" s="18" t="inlineStr">
        <is>
          <t>P máx (mca)</t>
        </is>
      </c>
      <c r="B8" s="19" t="n">
        <v>40</v>
      </c>
      <c r="C8" s="20" t="inlineStr">
        <is>
          <t>Limite NBR 12218 usado nas ferramentas 4 e 5.</t>
        </is>
      </c>
    </row>
    <row r="9" ht="15" customHeight="1" s="14">
      <c r="A9" s="18" t="inlineStr">
        <is>
          <t>V mín (m/s)</t>
        </is>
      </c>
      <c r="B9" s="19" t="n">
        <v>0.4</v>
      </c>
      <c r="C9" s="20" t="inlineStr">
        <is>
          <t>Velocidade mínima usada nas ferramentas 4 e 5.</t>
        </is>
      </c>
    </row>
    <row r="10" ht="15" customHeight="1" s="14">
      <c r="A10" s="18" t="inlineStr">
        <is>
          <t>V máx (m/s)</t>
        </is>
      </c>
      <c r="B10" s="19" t="n">
        <v>3.5</v>
      </c>
      <c r="C10" s="20" t="inlineStr">
        <is>
          <t>Velocidade máxima usada nas ferramentas 4 e 5.</t>
        </is>
      </c>
    </row>
    <row r="13" ht="31.5" customHeight="1" s="14">
      <c r="A13" s="21" t="inlineStr">
        <is>
          <t>#</t>
        </is>
      </c>
      <c r="B13" s="21" t="inlineStr">
        <is>
          <t>Nome da Ferramenta</t>
        </is>
      </c>
      <c r="C13" s="21" t="inlineStr">
        <is>
          <t>Programa</t>
        </is>
      </c>
      <c r="D13" s="21" t="inlineStr">
        <is>
          <t>Pasta de Trabalho</t>
        </is>
      </c>
      <c r="E13" s="21" t="inlineStr">
        <is>
          <t>Parâmetros</t>
        </is>
      </c>
      <c r="F13" s="21" t="inlineStr">
        <is>
          <t>Desativar o Epanet</t>
        </is>
      </c>
      <c r="G13" s="21" t="inlineStr">
        <is>
          <t>Atualizar o Epanet após finalizar</t>
        </is>
      </c>
      <c r="H13" s="21" t="inlineStr">
        <is>
          <t>O que faz</t>
        </is>
      </c>
    </row>
    <row r="14" ht="45.75" customHeight="1" s="14">
      <c r="A14" s="22" t="n">
        <v>1</v>
      </c>
      <c r="B14" s="22" t="inlineStr">
        <is>
          <t>Resumo da Rede</t>
        </is>
      </c>
      <c r="C14" s="22">
        <f>$B$5</f>
        <v/>
      </c>
      <c r="D14" s="22">
        <f>$B$6</f>
        <v/>
      </c>
      <c r="E14" s="22">
        <f>""""&amp;$B$6&amp;"\01_resumo_rede.py"" $INPFILE"</f>
        <v/>
      </c>
      <c r="F14" s="22" t="inlineStr">
        <is>
          <t>Não</t>
        </is>
      </c>
      <c r="G14" s="22" t="inlineStr">
        <is>
          <t>Não</t>
        </is>
      </c>
      <c r="H14" s="22" t="inlineStr">
        <is>
          <t>Quantitativos, extensão por diâmetro e por rugosidade (relatório no navegador).</t>
        </is>
      </c>
    </row>
    <row r="15" ht="45.75" customHeight="1" s="14">
      <c r="A15" s="22" t="n">
        <v>2</v>
      </c>
      <c r="B15" s="22" t="inlineStr">
        <is>
          <t>Verificador de Consistência</t>
        </is>
      </c>
      <c r="C15" s="22">
        <f>$B$5</f>
        <v/>
      </c>
      <c r="D15" s="22">
        <f>$B$6</f>
        <v/>
      </c>
      <c r="E15" s="22">
        <f>""""&amp;$B$6&amp;"\02_verificar_consistencia.py"" $INPFILE"</f>
        <v/>
      </c>
      <c r="F15" s="22" t="inlineStr">
        <is>
          <t>Não</t>
        </is>
      </c>
      <c r="G15" s="22" t="inlineStr">
        <is>
          <t>Não</t>
        </is>
      </c>
      <c r="H15" s="22" t="inlineStr">
        <is>
          <t>Nós isolados, nós inexistentes, comprimentos/diâmetros inválidos, rugosidade fora da faixa, cota zero, sem abastecimento.</t>
        </is>
      </c>
    </row>
    <row r="16" ht="45.75" customHeight="1" s="14">
      <c r="A16" s="22" t="n">
        <v>3</v>
      </c>
      <c r="B16" s="22" t="inlineStr">
        <is>
          <t>Rugosidade em Lote</t>
        </is>
      </c>
      <c r="C16" s="22">
        <f>$B$5</f>
        <v/>
      </c>
      <c r="D16" s="22">
        <f>$B$6</f>
        <v/>
      </c>
      <c r="E16" s="22">
        <f>""""&amp;$B$6&amp;"\03_rugosidade_lote.py"" $INPFILE"</f>
        <v/>
      </c>
      <c r="F16" s="22" t="inlineStr">
        <is>
          <t>Não</t>
        </is>
      </c>
      <c r="G16" s="23" t="inlineStr">
        <is>
          <t>Sim</t>
        </is>
      </c>
      <c r="H16" s="22" t="inlineStr">
        <is>
          <t>Janela para definir/multiplicar rugosidade por faixa de diâmetro. Altera o projeto e grava backup .bak.</t>
        </is>
      </c>
    </row>
    <row r="17" ht="45.75" customHeight="1" s="14">
      <c r="A17" s="22" t="n">
        <v>4</v>
      </c>
      <c r="B17" s="22" t="inlineStr">
        <is>
          <t>Pressões NBR 12218</t>
        </is>
      </c>
      <c r="C17" s="22">
        <f>$B$5</f>
        <v/>
      </c>
      <c r="D17" s="22">
        <f>$B$6</f>
        <v/>
      </c>
      <c r="E17" s="22">
        <f>""""&amp;$B$6&amp;"\04_pressoes_nbr12218.py"" $INPFILE"&amp;" "&amp;SUBSTITUTE(B7,",",".")&amp;" "&amp;SUBSTITUTE(B8,",",".")&amp;" "&amp;SUBSTITUTE(B9,",",".")&amp;" "&amp;SUBSTITUTE(B10,",",".")</f>
        <v/>
      </c>
      <c r="F17" s="22" t="inlineStr">
        <is>
          <t>Não</t>
        </is>
      </c>
      <c r="G17" s="22" t="inlineStr">
        <is>
          <t>Não</t>
        </is>
      </c>
      <c r="H17" s="22" t="inlineStr">
        <is>
          <t>Simula com o runepanet.exe do EPANET Br e lista nós e trechos fora dos limites.</t>
        </is>
      </c>
    </row>
    <row r="18" ht="45.75" customHeight="1" s="14">
      <c r="A18" s="22" t="n">
        <v>5</v>
      </c>
      <c r="B18" s="22" t="inlineStr">
        <is>
          <t>Relatório IARHA</t>
        </is>
      </c>
      <c r="C18" s="22">
        <f>$B$5</f>
        <v/>
      </c>
      <c r="D18" s="22">
        <f>$B$6</f>
        <v/>
      </c>
      <c r="E18" s="22">
        <f>""""&amp;$B$6&amp;"\05_relatorio_iarha.py"" $INPFILE"&amp;" "&amp;SUBSTITUTE(B7,",",".")&amp;" "&amp;SUBSTITUTE(B8,",",".")&amp;" "&amp;SUBSTITUTE(B9,",",".")&amp;" "&amp;SUBSTITUTE(B10,",",".")</f>
        <v/>
      </c>
      <c r="F18" s="22" t="inlineStr">
        <is>
          <t>Não</t>
        </is>
      </c>
      <c r="G18" s="22" t="inlineStr">
        <is>
          <t>Não</t>
        </is>
      </c>
      <c r="H18" s="22" t="inlineStr">
        <is>
          <t>Simula e gera o relatório de diagnóstico em A4 (capa, síntese, mapa, gráficos, consistência, anexo).</t>
        </is>
      </c>
    </row>
    <row r="19" ht="45.75" customHeight="1" s="14">
      <c r="A19" s="22" t="n">
        <v>6</v>
      </c>
      <c r="B19" s="22" t="inlineStr">
        <is>
          <t>Relatório de Análise da Rede (ATLAS)</t>
        </is>
      </c>
      <c r="C19" s="22">
        <f>$B$5</f>
        <v/>
      </c>
      <c r="D19" s="22">
        <f>$B$6</f>
        <v/>
      </c>
      <c r="E19" s="22">
        <f>""""&amp;$B$6&amp;"\06_relatorio_analise_rede.py"" $INPFILE"</f>
        <v/>
      </c>
      <c r="F19" s="22" t="inlineStr">
        <is>
          <t>Não</t>
        </is>
      </c>
      <c r="G19" s="22" t="inlineStr">
        <is>
          <t>Não</t>
        </is>
      </c>
      <c r="H19" s="22" t="inlineStr">
        <is>
          <t>Relatório no padrão IARHA-ATLAS com distribuições, reservação, top 10, diagnóstico e 6 mapas temáticos. Critérios, cores e seções vêm da ferramenta 7.</t>
        </is>
      </c>
    </row>
    <row r="20" ht="45.75" customHeight="1" s="14">
      <c r="A20" s="22" t="n">
        <v>7</v>
      </c>
      <c r="B20" s="22" t="inlineStr">
        <is>
          <t>Configurar Relatório</t>
        </is>
      </c>
      <c r="C20" s="22">
        <f>$B$5</f>
        <v/>
      </c>
      <c r="D20" s="22">
        <f>$B$6</f>
        <v/>
      </c>
      <c r="E20" s="22">
        <f>""""&amp;$B$6&amp;"\07_configurar_relatorio.py"""</f>
        <v/>
      </c>
      <c r="F20" s="22" t="inlineStr">
        <is>
          <t>Não</t>
        </is>
      </c>
      <c r="G20" s="22" t="inlineStr">
        <is>
          <t>Não</t>
        </is>
      </c>
      <c r="H20" s="22" t="inlineStr">
        <is>
          <t>Janela para personalizar o relatório da ferramenta 6: título, logo, cores, critérios, classes dos mapas e seções.</t>
        </is>
      </c>
    </row>
    <row r="21" ht="45.75" customHeight="1" s="14">
      <c r="A21" s="22" t="n">
        <v>8</v>
      </c>
      <c r="B21" s="22" t="inlineStr">
        <is>
          <t>Imagem de Fundo</t>
        </is>
      </c>
      <c r="C21" s="22">
        <f>$B$5</f>
        <v/>
      </c>
      <c r="D21" s="22">
        <f>$B$6</f>
        <v/>
      </c>
      <c r="E21" s="22">
        <f>""""&amp;$B$6&amp;"\08_imagem_fundo.py"" $INPFILE"</f>
        <v/>
      </c>
      <c r="F21" s="22" t="inlineStr">
        <is>
          <t>Não</t>
        </is>
      </c>
      <c r="G21" s="22" t="inlineStr">
        <is>
          <t>Sim</t>
        </is>
      </c>
      <c r="H21" s="22" t="inlineStr">
        <is>
          <t>Baixa imagem de satélite ou de mapa no sistema de coordenadas da rede e grava o fundo ([BACKDROP]) já alinhado. Precisa de internet e rede georreferenciada.</t>
        </is>
      </c>
    </row>
    <row r="22" ht="27.75" customHeight="1" s="14"/>
    <row r="23" ht="27.75" customHeight="1" s="14">
      <c r="A23" s="24" t="inlineStr">
        <is>
          <t>Observações</t>
        </is>
      </c>
    </row>
    <row r="24" ht="27.75" customHeight="1" s="14">
      <c r="A24" s="25" t="inlineStr">
        <is>
          <t>• O campo Programa é sempre o pythonw.exe, nunca o .py. Apontar para o .py faz o Windows abrir o arquivo no VS Code.</t>
        </is>
      </c>
    </row>
    <row r="25" ht="27.75" customHeight="1" s="14">
      <c r="A25" s="25" t="inlineStr">
        <is>
          <t>• Para ver erros na primeira vez, troque pythonw.exe por python.exe no campo Programa (abre uma janela preta com as mensagens).</t>
        </is>
      </c>
    </row>
    <row r="26" ht="27.75" customHeight="1" s="14">
      <c r="A26" s="25" t="inlineStr">
        <is>
          <t>• As ferramentas 4 e 5 procuram o runepanet.exe em C:\Program Files (x86)\Epanet 2.2 Brasil. Se o EPANET Br estiver em outro lugar, copie o runepanet.exe para a pasta das ferramentas.</t>
        </is>
      </c>
    </row>
    <row r="27" ht="27.75" customHeight="1" s="14">
      <c r="A27" s="25" t="inlineStr">
        <is>
          <t>• O EPANET 2.2 Brasil não oferece $OUTFILE; por isso todas as ferramentas recebem só $INPFILE.</t>
        </is>
      </c>
    </row>
    <row r="28" ht="27.75" customHeight="1" s="14">
      <c r="A28" s="25" t="inlineStr">
        <is>
          <t>• Se aparecer 'I/O error 32' ao salvar, feche todas as janelas de EPANET (inclusive outras versões) e cadastre de novo.</t>
        </is>
      </c>
    </row>
    <row r="29" ht="27.75" customHeight="1" s="14">
      <c r="A29" s="25" t="inlineStr">
        <is>
          <t>• A ferramenta 8 precisa de internet (services.arcgisonline.com). Atrás de proxy, peça a liberação à TI.</t>
        </is>
      </c>
    </row>
  </sheetData>
  <mergeCells count="7">
    <mergeCell ref="A26:H26"/>
    <mergeCell ref="A29:H29"/>
    <mergeCell ref="A25:H25"/>
    <mergeCell ref="A24:H24"/>
    <mergeCell ref="A28:H28"/>
    <mergeCell ref="A23:H23"/>
    <mergeCell ref="A27:H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2026-10-25T16:11:39Z</dcterms:created>
  <dcterms:modified xmlns:dcterms="http://purl.org/dc/terms/" xmlns:xsi="http://www.w3.org/2001/XMLSchema-instance" xsi:type="dcterms:W3CDTF">2026-10-27T02:01:16Z</dcterms:modified>
  <cp:revision>0</cp:revision>
</cp:coreProperties>
</file>